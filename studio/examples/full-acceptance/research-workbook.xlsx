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" sheetId="1" state="visible" r:id="rId3"/>
    <sheet name="Analysis" sheetId="2" state="visible" r:id="rId4"/>
    <sheet name="Sources" sheetId="3" state="visible" r:id="rId5"/>
  </sheets>
  <definedNames>
    <definedName function="false" hidden="false" localSheetId="1" name="_xlnm.Print_Area" vbProcedure="false">Analysis!$A$1:$L$23</definedName>
    <definedName function="false" hidden="false" localSheetId="0" name="_xlnm.Print_Area" vbProcedure="false">Raw!$A$1:$C$9</definedName>
    <definedName function="false" hidden="true" localSheetId="0" name="_xlnm._FilterDatabase" vbProcedure="false">Raw!$A$1:$C$7</definedName>
    <definedName function="false" hidden="false" localSheetId="2" name="_xlnm.Print_Area" vbProcedure="false">Sources!$A$1:$D$3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<sst xmlns="http://schemas.openxmlformats.org/spreadsheetml/2006/main" count="29" uniqueCount="25">
  <si>
    <t xml:space="preserve">ID</t>
  </si>
  <si>
    <t xml:space="preserve">Контроль, мин</t>
  </si>
  <si>
    <t xml:space="preserve">Поддержка, мин</t>
  </si>
  <si>
    <t xml:space="preserve">ИСКУССТВЕННЫЕ ВЫБОРКИ / 22.10.2026</t>
  </si>
  <si>
    <t xml:space="preserve">Метрика</t>
  </si>
  <si>
    <t xml:space="preserve">Контроль</t>
  </si>
  <si>
    <t xml:space="preserve">Поддержка</t>
  </si>
  <si>
    <t xml:space="preserve">Число наблюдений</t>
  </si>
  <si>
    <t xml:space="preserve">Медиана, мин</t>
  </si>
  <si>
    <t xml:space="preserve">Среднее, мин</t>
  </si>
  <si>
    <t xml:space="preserve">Минимум, мин</t>
  </si>
  <si>
    <t xml:space="preserve">Максимум, мин</t>
  </si>
  <si>
    <t xml:space="preserve">Сумма, мин</t>
  </si>
  <si>
    <t xml:space="preserve">Разница медиан, мин</t>
  </si>
  <si>
    <t xml:space="preserve">Относительная разница</t>
  </si>
  <si>
    <t xml:space="preserve">Группа</t>
  </si>
  <si>
    <t xml:space="preserve">Источник: studio/examples/research-data.json</t>
  </si>
  <si>
    <t xml:space="preserve">Все значения вымышленные; относительная разница не является причинным эффектом.</t>
  </si>
  <si>
    <t xml:space="preserve">Источник</t>
  </si>
  <si>
    <t xml:space="preserve">Область</t>
  </si>
  <si>
    <t xml:space="preserve">Статус</t>
  </si>
  <si>
    <t xml:space="preserve">synthetic-report-time-v1</t>
  </si>
  <si>
    <t xml:space="preserve">file:studio/examples/research-data.json</t>
  </si>
  <si>
    <t xml:space="preserve">Все 12 наблюдений</t>
  </si>
  <si>
    <t xml:space="preserve">Синтетический тест, не эмпирические данные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</si>
</sst>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253A4A"/>
      <name val="Inter"/>
      <family val="0"/>
      <charset val="1"/>
    </font>
    <font>
      <sz val="11"/>
      <color rgb="FF253A4A"/>
      <name val="Inter"/>
      <family val="0"/>
      <charset val="1"/>
    </font>
    <font>
      <b val="true"/>
      <sz val="15"/>
      <color rgb="FF253A4A"/>
      <name val="Inter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AF0F2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AF0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A4A"/>
          <bgColor rgb="FF000000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0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D9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53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Медианное время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Analysis!B16</c:f>
              <c:strCache>
                <c:ptCount val="1"/>
                <c:pt idx="0">
                  <c:v>Медиана, мин</c:v>
                </c:pt>
              </c:strCache>
            </c:strRef>
          </c:tx>
          <c:spPr>
            <a:solidFill>
              <a:srgbClr val="356D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Analysis!$A$17:$A$18</c:f>
              <c:strCache>
                <c:ptCount val="2"/>
                <c:pt idx="0">
                  <c:v>Контроль</c:v>
                </c:pt>
                <c:pt idx="1">
                  <c:v>Поддержка</c:v>
                </c:pt>
              </c:strCache>
            </c:strRef>
          </c:cat>
          <c:val>
            <c:numRef>
              <c:f>Analysis!$B$17:$B$18</c:f>
              <c:numCache>
                <c:formatCode>0.0</c:formatCode>
                <c:ptCount val="2"/>
                <c:pt idx="0">
                  <c:v>41.5</c:v>
                </c:pt>
                <c:pt idx="1">
                  <c:v>30.5</c:v>
                </c:pt>
              </c:numCache>
            </c:numRef>
          </c:val>
        </c:ser>
        <c:gapWidth val="150"/>
        <c:overlap val="0"/>
        <c:axId val="36457140"/>
        <c:axId val="41849133"/>
      </c:barChart>
      <c:catAx>
        <c:axId val="36457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849133"/>
        <c:crosses val="autoZero"/>
        <c:auto val="1"/>
        <c:lblAlgn val="ctr"/>
        <c:lblOffset val="100"/>
        <c:noMultiLvlLbl val="0"/>
      </c:catAx>
      <c:valAx>
        <c:axId val="41849133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Минуты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57140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11</xdr:col>
      <xdr:colOff>105840</xdr:colOff>
      <xdr:row>18</xdr:row>
      <xdr:rowOff>83880</xdr:rowOff>
    </xdr:to>
    <xdr:graphicFrame>
      <xdr:nvGraphicFramePr>
        <xdr:cNvPr id="1" name="Chart 1"/>
        <xdr:cNvGraphicFramePr/>
      </xdr:nvGraphicFramePr>
      <xdr:xfrm>
        <a:off x="4793040" y="437040"/>
        <a:ext cx="5039640" cy="313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n">
        <v>42</v>
      </c>
      <c r="C2" s="2" t="n">
        <v>31</v>
      </c>
    </row>
    <row r="3" customFormat="false" ht="15" hidden="false" customHeight="false" outlineLevel="0" collapsed="false">
      <c r="A3" s="2" t="n">
        <v>2</v>
      </c>
      <c r="B3" s="2" t="n">
        <v>39</v>
      </c>
      <c r="C3" s="2" t="n">
        <v>28</v>
      </c>
    </row>
    <row r="4" customFormat="false" ht="15" hidden="false" customHeight="false" outlineLevel="0" collapsed="false">
      <c r="A4" s="2" t="n">
        <v>3</v>
      </c>
      <c r="B4" s="2" t="n">
        <v>45</v>
      </c>
      <c r="C4" s="2" t="n">
        <v>34</v>
      </c>
    </row>
    <row r="5" customFormat="false" ht="15" hidden="false" customHeight="false" outlineLevel="0" collapsed="false">
      <c r="A5" s="2" t="n">
        <v>4</v>
      </c>
      <c r="B5" s="2" t="n">
        <v>44</v>
      </c>
      <c r="C5" s="2" t="n">
        <v>30</v>
      </c>
    </row>
    <row r="6" customFormat="false" ht="15" hidden="false" customHeight="false" outlineLevel="0" collapsed="false">
      <c r="A6" s="2" t="n">
        <v>5</v>
      </c>
      <c r="B6" s="2" t="n">
        <v>40</v>
      </c>
      <c r="C6" s="2" t="n">
        <v>29</v>
      </c>
    </row>
    <row r="7" customFormat="false" ht="15" hidden="false" customHeight="false" outlineLevel="0" collapsed="false">
      <c r="A7" s="2" t="n">
        <v>6</v>
      </c>
      <c r="B7" s="2" t="n">
        <v>41</v>
      </c>
      <c r="C7" s="2" t="n">
        <v>32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7"/>
    <col collapsed="false" customWidth="true" hidden="false" outlineLevel="0" max="4" min="4" style="0" width="4"/>
    <col collapsed="false" customWidth="true" hidden="false" outlineLevel="0" max="12" min="5" style="0" width="10"/>
  </cols>
  <sheetData>
    <row r="1" customFormat="false" ht="19.4" hidden="false" customHeight="true" outlineLevel="0" collapsed="false">
      <c r="A1" s="3" t="s">
        <v>3</v>
      </c>
      <c r="B1" s="3"/>
      <c r="C1" s="3"/>
      <c r="D1" s="3"/>
      <c r="E1" s="3"/>
      <c r="F1" s="3"/>
      <c r="G1" s="3"/>
      <c r="H1" s="3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 t="s">
        <v>4</v>
      </c>
      <c r="B3" s="1" t="s">
        <v>5</v>
      </c>
      <c r="C3" s="1" t="s">
        <v>6</v>
      </c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7</v>
      </c>
      <c r="B4" s="4" t="n">
        <f aca="false">COUNT(Raw!B2:B7)</f>
        <v>6</v>
      </c>
      <c r="C4" s="4" t="n">
        <f aca="false">COUNT(Raw!C2:C7)</f>
        <v>6</v>
      </c>
      <c r="D4" s="2"/>
      <c r="E4" s="2"/>
      <c r="F4" s="2"/>
      <c r="G4" s="2"/>
      <c r="H4" s="2"/>
    </row>
    <row r="5" customFormat="false" ht="15" hidden="false" customHeight="false" outlineLevel="0" collapsed="false">
      <c r="A5" s="2" t="s">
        <v>8</v>
      </c>
      <c r="B5" s="5" t="n">
        <f aca="false">MEDIAN(Raw!B2:B7)</f>
        <v>41.5</v>
      </c>
      <c r="C5" s="5" t="n">
        <f aca="false">MEDIAN(Raw!C2:C7)</f>
        <v>30.5</v>
      </c>
      <c r="D5" s="2"/>
      <c r="E5" s="2"/>
      <c r="F5" s="2"/>
      <c r="G5" s="2"/>
      <c r="H5" s="2"/>
    </row>
    <row r="6" customFormat="false" ht="15" hidden="false" customHeight="false" outlineLevel="0" collapsed="false">
      <c r="A6" s="2" t="s">
        <v>9</v>
      </c>
      <c r="B6" s="5" t="n">
        <f aca="false">AVERAGE(Raw!B2:B7)</f>
        <v>41.8333333333333</v>
      </c>
      <c r="C6" s="5" t="n">
        <f aca="false">AVERAGE(Raw!C2:C7)</f>
        <v>30.6666666666667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2" t="s">
        <v>10</v>
      </c>
      <c r="B7" s="4" t="n">
        <f aca="false">MIN(Raw!B2:B7)</f>
        <v>39</v>
      </c>
      <c r="C7" s="4" t="n">
        <f aca="false">MIN(Raw!C2:C7)</f>
        <v>28</v>
      </c>
      <c r="D7" s="2"/>
      <c r="E7" s="2"/>
      <c r="F7" s="2"/>
      <c r="G7" s="2"/>
      <c r="H7" s="2"/>
    </row>
    <row r="8" customFormat="false" ht="15" hidden="false" customHeight="false" outlineLevel="0" collapsed="false">
      <c r="A8" s="2" t="s">
        <v>11</v>
      </c>
      <c r="B8" s="4" t="n">
        <f aca="false">MAX(Raw!B2:B7)</f>
        <v>45</v>
      </c>
      <c r="C8" s="4" t="n">
        <f aca="false">MAX(Raw!C2:C7)</f>
        <v>34</v>
      </c>
      <c r="D8" s="2"/>
      <c r="E8" s="2"/>
      <c r="F8" s="2"/>
      <c r="G8" s="2"/>
      <c r="H8" s="2"/>
    </row>
    <row r="9" customFormat="false" ht="15" hidden="false" customHeight="false" outlineLevel="0" collapsed="false">
      <c r="A9" s="2" t="s">
        <v>12</v>
      </c>
      <c r="B9" s="4" t="n">
        <f aca="false">SUM(Raw!B2:B7)</f>
        <v>251</v>
      </c>
      <c r="C9" s="4" t="n">
        <f aca="false">SUM(Raw!C2:C7)</f>
        <v>184</v>
      </c>
      <c r="D9" s="2"/>
      <c r="E9" s="2"/>
      <c r="F9" s="2"/>
      <c r="G9" s="2"/>
      <c r="H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false" outlineLevel="0" collapsed="false">
      <c r="A11" s="2" t="s">
        <v>13</v>
      </c>
      <c r="B11" s="2" t="n">
        <f aca="false">B5-C5</f>
        <v>11</v>
      </c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 t="s">
        <v>14</v>
      </c>
      <c r="B12" s="6" t="n">
        <f aca="false">IFERROR(B11/B5,0)</f>
        <v>0.265060240963855</v>
      </c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1" t="s">
        <v>15</v>
      </c>
      <c r="B16" s="1" t="s">
        <v>8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2" t="s">
        <v>5</v>
      </c>
      <c r="B17" s="5" t="n">
        <f aca="false">B5</f>
        <v>41.5</v>
      </c>
      <c r="C17" s="2"/>
      <c r="D17" s="2"/>
      <c r="E17" s="2"/>
      <c r="F17" s="2"/>
      <c r="G17" s="2"/>
      <c r="H17" s="2"/>
    </row>
    <row r="18" customFormat="false" ht="15" hidden="false" customHeight="false" outlineLevel="0" collapsed="false">
      <c r="A18" s="2" t="s">
        <v>6</v>
      </c>
      <c r="B18" s="5" t="n">
        <f aca="false">C5</f>
        <v>30.5</v>
      </c>
      <c r="C18" s="2"/>
      <c r="D18" s="2"/>
      <c r="E18" s="2"/>
      <c r="F18" s="2"/>
      <c r="G18" s="2"/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7" t="s">
        <v>16</v>
      </c>
      <c r="B21" s="7"/>
      <c r="C21" s="7"/>
      <c r="D21" s="7"/>
      <c r="E21" s="7"/>
      <c r="F21" s="7"/>
      <c r="G21" s="7"/>
      <c r="H21" s="7"/>
    </row>
    <row r="22" customFormat="false" ht="15" hidden="false" customHeight="true" outlineLevel="0" collapsed="false">
      <c r="A22" s="7" t="s">
        <v>17</v>
      </c>
      <c r="B22" s="7"/>
      <c r="C22" s="7"/>
      <c r="D22" s="7"/>
      <c r="E22" s="7"/>
      <c r="F22" s="7"/>
      <c r="G22" s="7"/>
      <c r="H22" s="7"/>
    </row>
  </sheetData>
  <mergeCells count="3">
    <mergeCell ref="A1:H1"/>
    <mergeCell ref="A21:H21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5"/>
  </cols>
  <sheetData>
    <row r="1" customFormat="false" ht="15" hidden="false" customHeight="false" outlineLevel="0" collapsed="false">
      <c r="A1" s="1" t="s">
        <v>0</v>
      </c>
      <c r="B1" s="1" t="s">
        <v>18</v>
      </c>
      <c r="C1" s="1" t="s">
        <v>19</v>
      </c>
      <c r="D1" s="1" t="s">
        <v>20</v>
      </c>
    </row>
    <row r="2" customFormat="false" ht="43.5" hidden="false" customHeight="true" outlineLevel="0" collapsed="false">
      <c r="A2" s="2" t="s">
        <v>21</v>
      </c>
      <c r="B2" s="2" t="s">
        <v>22</v>
      </c>
      <c r="C2" s="2" t="s">
        <v>23</v>
      </c>
      <c r="D2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2026-10-22T00:38:07Z</dcterms:created>
  <dc:creator>openpyxl</dc:creator>
  <dc:description/>
  <dc:language>en-US</dc:language>
  <cp:lastModifiedBy/>
  <dcterms:modified xsi:type="dcterms:W3CDTF">2026-10-22T00:38:07Z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